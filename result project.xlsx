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7500" activeTab="1"/>
  </bookViews>
  <sheets>
    <sheet name="Student Database" sheetId="1" r:id="rId1"/>
    <sheet name="Resul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<sst xmlns="http://schemas.openxmlformats.org/spreadsheetml/2006/main" count="74" uniqueCount="61">
  <si>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Date Of   Birth</t>
  </si>
  <si>
    <t>Roll No.</t>
  </si>
  <si>
    <t>Name</t>
  </si>
  <si>
    <t>Class</t>
  </si>
  <si>
    <t>Subjects</t>
  </si>
  <si>
    <t>Total Marks</t>
  </si>
  <si>
    <t>Marks Obtained</t>
  </si>
  <si>
    <t>Percentage</t>
  </si>
  <si>
    <t>Grade</t>
  </si>
  <si>
    <t>Result</t>
  </si>
  <si>
    <t>Rank</t>
  </si>
  <si>
    <t>Maths</t>
  </si>
  <si>
    <t>Science</t>
  </si>
  <si>
    <t>Social Studies</t>
  </si>
  <si>
    <t>Nepali</t>
  </si>
  <si>
    <t>Health</t>
  </si>
  <si>
    <t>English</t>
  </si>
  <si>
    <t>General knowledge</t>
  </si>
  <si>
    <t>Abishek Subedi</t>
  </si>
  <si>
    <t>Aisha Nepal</t>
  </si>
  <si>
    <t>Bibek Thapa</t>
  </si>
  <si>
    <t>Bijeta limbu</t>
  </si>
  <si>
    <t>Deepan Ghimire</t>
  </si>
  <si>
    <t>Dipa Katwal</t>
  </si>
  <si>
    <t>Dinesh Khatri</t>
  </si>
  <si>
    <t>Elina Gautam</t>
  </si>
  <si>
    <t>Ganesh shah</t>
  </si>
  <si>
    <t>Gita Ban</t>
  </si>
  <si>
    <t>Hari kafle</t>
  </si>
  <si>
    <t>Ishan Thapa</t>
  </si>
  <si>
    <t>Jalan Lama</t>
  </si>
  <si>
    <t>Kabita Sunar</t>
  </si>
  <si>
    <t>Kabita wagle</t>
  </si>
  <si>
    <t>Kiran Bk</t>
  </si>
  <si>
    <t>Manav Neupane</t>
  </si>
  <si>
    <t>Manita Limbu</t>
  </si>
  <si>
    <t>Nabina Kc</t>
  </si>
  <si>
    <t>Nitu Shrestha</t>
  </si>
  <si>
    <t>Oman Karki</t>
  </si>
  <si>
    <t>Puja Dhungle</t>
  </si>
  <si>
    <t>Sujan Sedai</t>
  </si>
  <si>
    <t>Yog Subedi</t>
  </si>
  <si>
    <t xml:space="preserve">    </t>
  </si>
  <si>
    <t>Br no:</t>
  </si>
  <si>
    <t>Grade Sheet</t>
  </si>
  <si>
    <t>THE MARKS SECURED BY</t>
  </si>
  <si>
    <t>:</t>
  </si>
  <si>
    <t>DATE OF BIRTH:</t>
  </si>
  <si>
    <t>ROLL NO</t>
  </si>
  <si>
    <t>OF</t>
  </si>
  <si>
    <t>SHREEYANTRA COLLEGE</t>
  </si>
  <si>
    <t>IN THE ANNUAL EXAM OF</t>
  </si>
  <si>
    <t>2026 AD</t>
  </si>
  <si>
    <t>ARE GIVEN BELOW</t>
  </si>
  <si>
    <t>S.n</t>
  </si>
  <si>
    <t>Obtained Marks</t>
  </si>
  <si>
    <t>Credit hour</t>
  </si>
  <si>
    <t>Remarks</t>
  </si>
  <si>
    <t>Total</t>
  </si>
  <si>
    <t>CHECKED BY:</t>
  </si>
  <si>
    <t>Principle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</si>
</sst>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6"/>
      <name val="Calibri"/>
      <charset val="134"/>
      <scheme val="minor"/>
    </font>
    <font>
      <b/>
      <u/>
      <sz val="16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vertical="center"/>
    </xf>
    <xf numFmtId="0" fontId="1" fillId="2" borderId="0" xfId="0" applyFont="1" applyFill="1" applyAlignment="1"/>
    <xf numFmtId="9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8" xfId="0" applyFont="1" applyBorder="1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58" fontId="0" fillId="0" borderId="2" xfId="0" applyNumberForma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9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9" fontId="5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9" fontId="0" fillId="0" borderId="2" xfId="0" applyNumberFormat="1" applyFill="1" applyBorder="1">
      <alignment vertical="center"/>
    </xf>
    <xf numFmtId="9" fontId="0" fillId="0" borderId="0" xfId="0" applyNumberFormat="1" applyFill="1" applyBorder="1">
      <alignment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2</xdr:row>
      <xdr:rowOff>0</xdr:rowOff>
    </xdr:from>
    <xdr:to>
      <xdr:col>6</xdr:col>
      <xdr:colOff>600075</xdr:colOff>
      <xdr:row>36</xdr:row>
      <xdr:rowOff>46990</xdr:rowOff>
    </xdr:to>
    <xdr:sp>
      <xdr:nvSpPr>
        <xdr:cNvPr id="3" name="Flowchart: Process 2"/>
        <xdr:cNvSpPr/>
      </xdr:nvSpPr>
      <xdr:spPr>
        <a:xfrm>
          <a:off x="1390650" y="381000"/>
          <a:ext cx="4210050" cy="7184390"/>
        </a:xfrm>
        <a:prstGeom prst="flowChartProcess">
          <a:avLst/>
        </a:prstGeom>
        <a:ln w="635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>
            <a:ln>
              <a:solidFill>
                <a:schemeClr val="bg1"/>
              </a:solidFill>
            </a:ln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endParaRPr lang="en-US" sz="1100">
            <a:ln>
              <a:solidFill>
                <a:schemeClr val="bg1"/>
              </a:solidFill>
            </a:ln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 fLocksWithSheet="0"/>
  </xdr:twoCellAnchor>
  <xdr:twoCellAnchor>
    <xdr:from>
      <xdr:col>2</xdr:col>
      <xdr:colOff>914400</xdr:colOff>
      <xdr:row>3</xdr:row>
      <xdr:rowOff>104775</xdr:rowOff>
    </xdr:from>
    <xdr:to>
      <xdr:col>5</xdr:col>
      <xdr:colOff>476250</xdr:colOff>
      <xdr:row>5</xdr:row>
      <xdr:rowOff>19050</xdr:rowOff>
    </xdr:to>
    <xdr:sp>
      <xdr:nvSpPr>
        <xdr:cNvPr id="5" name="Text Box 4"/>
        <xdr:cNvSpPr txBox="1"/>
      </xdr:nvSpPr>
      <xdr:spPr>
        <a:xfrm>
          <a:off x="2686050" y="676275"/>
          <a:ext cx="2266950" cy="37147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600" b="1"/>
            <a:t>Shreeyanta college</a:t>
          </a:r>
          <a:endParaRPr lang="en-US" sz="1600" b="1"/>
        </a:p>
      </xdr:txBody>
    </xdr:sp>
    <xdr:clientData/>
  </xdr:twoCellAnchor>
  <xdr:twoCellAnchor>
    <xdr:from>
      <xdr:col>2</xdr:col>
      <xdr:colOff>1333500</xdr:colOff>
      <xdr:row>4</xdr:row>
      <xdr:rowOff>180340</xdr:rowOff>
    </xdr:from>
    <xdr:to>
      <xdr:col>4</xdr:col>
      <xdr:colOff>962025</xdr:colOff>
      <xdr:row>6</xdr:row>
      <xdr:rowOff>85725</xdr:rowOff>
    </xdr:to>
    <xdr:sp>
      <xdr:nvSpPr>
        <xdr:cNvPr id="6" name="Text Box 5"/>
        <xdr:cNvSpPr txBox="1"/>
      </xdr:nvSpPr>
      <xdr:spPr>
        <a:xfrm>
          <a:off x="3105150" y="942340"/>
          <a:ext cx="1352550" cy="3625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600" b="1">
              <a:ln>
                <a:noFill/>
              </a:ln>
              <a:solidFill>
                <a:sysClr val="windowText" lastClr="000000"/>
              </a:solidFill>
            </a:rPr>
            <a:t>Damak-5, Jhapa</a:t>
          </a:r>
          <a:endParaRPr lang="en-US" sz="16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1219200</xdr:colOff>
      <xdr:row>6</xdr:row>
      <xdr:rowOff>85725</xdr:rowOff>
    </xdr:from>
    <xdr:to>
      <xdr:col>5</xdr:col>
      <xdr:colOff>57150</xdr:colOff>
      <xdr:row>7</xdr:row>
      <xdr:rowOff>132715</xdr:rowOff>
    </xdr:to>
    <xdr:sp>
      <xdr:nvSpPr>
        <xdr:cNvPr id="7" name="Text Box 6"/>
        <xdr:cNvSpPr txBox="1"/>
      </xdr:nvSpPr>
      <xdr:spPr>
        <a:xfrm>
          <a:off x="2990850" y="1304925"/>
          <a:ext cx="1543050" cy="2374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600" b="1"/>
            <a:t>Estd. 2007 BS</a:t>
          </a:r>
          <a:endParaRPr lang="en-US" sz="1600" b="1"/>
        </a:p>
      </xdr:txBody>
    </xdr:sp>
    <xdr:clientData/>
  </xdr:twoCellAnchor>
  <xdr:twoCellAnchor editAs="oneCell">
    <xdr:from>
      <xdr:col>1</xdr:col>
      <xdr:colOff>19050</xdr:colOff>
      <xdr:row>2</xdr:row>
      <xdr:rowOff>123825</xdr:rowOff>
    </xdr:from>
    <xdr:to>
      <xdr:col>2</xdr:col>
      <xdr:colOff>765175</xdr:colOff>
      <xdr:row>9</xdr:row>
      <xdr:rowOff>50800</xdr:rowOff>
    </xdr:to>
    <xdr:pic>
      <xdr:nvPicPr>
        <xdr:cNvPr id="9" name="Picture 8" descr="482808834_1077722561042380_1057875329774856543_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504825"/>
          <a:ext cx="1136650" cy="1336675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29</xdr:row>
      <xdr:rowOff>180975</xdr:rowOff>
    </xdr:from>
    <xdr:to>
      <xdr:col>2</xdr:col>
      <xdr:colOff>619125</xdr:colOff>
      <xdr:row>30</xdr:row>
      <xdr:rowOff>181610</xdr:rowOff>
    </xdr:to>
    <xdr:sp>
      <xdr:nvSpPr>
        <xdr:cNvPr id="2" name="Text Box 1"/>
        <xdr:cNvSpPr txBox="1"/>
      </xdr:nvSpPr>
      <xdr:spPr>
        <a:xfrm>
          <a:off x="1485900" y="6365875"/>
          <a:ext cx="904875" cy="19113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100">
              <a:ln>
                <a:noFill/>
              </a:ln>
            </a:rPr>
            <a:t>Percentage</a:t>
          </a:r>
          <a:r>
            <a:rPr lang="en-US" sz="1100"/>
            <a:t>:</a:t>
          </a:r>
          <a:endParaRPr lang="en-US" sz="11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238125</xdr:colOff>
      <xdr:row>31</xdr:row>
      <xdr:rowOff>152400</xdr:rowOff>
    </xdr:from>
    <xdr:to>
      <xdr:col>2</xdr:col>
      <xdr:colOff>600075</xdr:colOff>
      <xdr:row>33</xdr:row>
      <xdr:rowOff>0</xdr:rowOff>
    </xdr:to>
    <xdr:sp>
      <xdr:nvSpPr>
        <xdr:cNvPr id="4" name="Text Box 3"/>
        <xdr:cNvSpPr txBox="1"/>
      </xdr:nvSpPr>
      <xdr:spPr>
        <a:xfrm>
          <a:off x="1619250" y="6718300"/>
          <a:ext cx="752475" cy="228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1100"/>
            <a:t>Position:</a:t>
          </a:r>
          <a:endParaRPr lang="en-US" sz="1100"/>
        </a:p>
      </xdr:txBody>
    </xdr:sp>
    <xdr:clientData/>
  </xdr:twoCellAnchor>
  <xdr:twoCellAnchor>
    <xdr:from>
      <xdr:col>1</xdr:col>
      <xdr:colOff>104775</xdr:colOff>
      <xdr:row>31</xdr:row>
      <xdr:rowOff>0</xdr:rowOff>
    </xdr:from>
    <xdr:to>
      <xdr:col>2</xdr:col>
      <xdr:colOff>457200</xdr:colOff>
      <xdr:row>31</xdr:row>
      <xdr:rowOff>171450</xdr:rowOff>
    </xdr:to>
    <xdr:sp>
      <xdr:nvSpPr>
        <xdr:cNvPr id="8" name="Text Box 7"/>
        <xdr:cNvSpPr txBox="1"/>
      </xdr:nvSpPr>
      <xdr:spPr>
        <a:xfrm>
          <a:off x="1485900" y="6565900"/>
          <a:ext cx="742950" cy="1714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100"/>
            <a:t>Result :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1"/>
  <sheetViews>
    <sheetView topLeftCell="B14" workbookViewId="0">
      <selection activeCell="K7" sqref="K7:K30"/>
    </sheetView>
  </sheetViews>
  <sheetFormatPr defaultColWidth="9.14285714285714" defaultRowHeight="15"/>
  <cols>
    <col min="1" max="1" width="16.7142857142857" style="29" customWidth="1"/>
    <col min="2" max="2" width="9.14285714285714" style="29"/>
    <col min="3" max="3" width="15.2857142857143" style="29" customWidth="1"/>
    <col min="4" max="4" width="9.14285714285714" style="29"/>
    <col min="5" max="5" width="9.14285714285714" style="29" customWidth="1"/>
    <col min="6" max="6" width="9.14285714285714" style="29"/>
    <col min="7" max="7" width="10.2857142857143" style="29" customWidth="1"/>
    <col min="8" max="10" width="9.14285714285714" style="29"/>
    <col min="11" max="11" width="14" style="29" customWidth="1"/>
    <col min="12" max="12" width="9.14285714285714" style="29"/>
    <col min="13" max="13" width="12.4285714285714" style="29" customWidth="1"/>
    <col min="14" max="14" width="16.5714285714286" style="30" customWidth="1"/>
    <col min="15" max="15" width="16.2857142857143" style="29" customWidth="1"/>
    <col min="16" max="16384" width="9.14285714285714" style="29"/>
  </cols>
  <sheetData>
    <row r="2" spans="5:5">
      <c r="E2" s="27"/>
    </row>
    <row r="4" ht="13" customHeight="1"/>
    <row r="5" ht="18.75" spans="1:18">
      <c r="A5" s="31" t="s">
        <v>0</v>
      </c>
      <c r="B5" s="32" t="s">
        <v>1</v>
      </c>
      <c r="C5" s="32" t="s">
        <v>2</v>
      </c>
      <c r="D5" s="32" t="s">
        <v>3</v>
      </c>
      <c r="E5" s="32" t="s">
        <v>4</v>
      </c>
      <c r="F5" s="32"/>
      <c r="G5" s="32"/>
      <c r="H5" s="32"/>
      <c r="I5" s="32"/>
      <c r="J5" s="32"/>
      <c r="K5" s="32"/>
      <c r="L5" s="41" t="s">
        <v>5</v>
      </c>
      <c r="M5" s="31" t="s">
        <v>6</v>
      </c>
      <c r="N5" s="42" t="s">
        <v>7</v>
      </c>
      <c r="O5" s="43" t="s">
        <v>8</v>
      </c>
      <c r="P5" s="43" t="s">
        <v>9</v>
      </c>
      <c r="Q5" s="43" t="s">
        <v>10</v>
      </c>
      <c r="R5" s="51"/>
    </row>
    <row r="6" ht="37.5" spans="1:18">
      <c r="A6" s="33"/>
      <c r="B6" s="34"/>
      <c r="C6" s="34"/>
      <c r="D6" s="34"/>
      <c r="E6" s="34" t="s">
        <v>11</v>
      </c>
      <c r="F6" s="34" t="s">
        <v>12</v>
      </c>
      <c r="G6" s="35" t="s">
        <v>13</v>
      </c>
      <c r="H6" s="34" t="s">
        <v>14</v>
      </c>
      <c r="I6" s="34" t="s">
        <v>15</v>
      </c>
      <c r="J6" s="34" t="s">
        <v>16</v>
      </c>
      <c r="K6" s="35" t="s">
        <v>17</v>
      </c>
      <c r="L6" s="35"/>
      <c r="M6" s="44"/>
      <c r="N6" s="45"/>
      <c r="O6" s="43"/>
      <c r="P6" s="46"/>
      <c r="Q6" s="46"/>
      <c r="R6" s="51"/>
    </row>
    <row r="7" ht="14" customHeight="1" spans="1:17">
      <c r="A7" s="36">
        <v>58148</v>
      </c>
      <c r="B7" s="37">
        <v>1</v>
      </c>
      <c r="C7" s="38" t="s">
        <v>18</v>
      </c>
      <c r="D7" s="39">
        <v>8</v>
      </c>
      <c r="E7" s="39">
        <v>88</v>
      </c>
      <c r="F7" s="39">
        <v>67</v>
      </c>
      <c r="G7" s="39">
        <v>74</v>
      </c>
      <c r="H7" s="39">
        <v>88</v>
      </c>
      <c r="I7" s="39">
        <v>99</v>
      </c>
      <c r="J7" s="39">
        <v>97</v>
      </c>
      <c r="K7" s="39">
        <v>96</v>
      </c>
      <c r="L7" s="39">
        <v>700</v>
      </c>
      <c r="M7" s="47">
        <f>SUM(E7:K7)</f>
        <v>609</v>
      </c>
      <c r="N7" s="48">
        <f>M7/700</f>
        <v>0.87</v>
      </c>
      <c r="O7" s="49" t="str">
        <f>IF(N7&gt;=0.8,"Distinction",IF(N7&gt;=0.7,"First Division",IF(N7&gt;=0.6,"Second Division",IF(N7&gt;=0.5,"Third Division",IF(N7&gt;=0.4,"Pass","fail")))))</f>
        <v>Distinction</v>
      </c>
      <c r="P7" s="37" t="str">
        <f>IF($E7&gt;=40,"pass","Fail")</f>
        <v>pass</v>
      </c>
      <c r="Q7" s="37">
        <f>RANK(N7,$N$7:$N$30)</f>
        <v>1</v>
      </c>
    </row>
    <row r="8" ht="14" customHeight="1" spans="1:17">
      <c r="A8" s="36">
        <v>58149</v>
      </c>
      <c r="B8" s="37">
        <v>2</v>
      </c>
      <c r="C8" s="38" t="s">
        <v>19</v>
      </c>
      <c r="D8" s="39">
        <v>8</v>
      </c>
      <c r="E8" s="39">
        <v>57</v>
      </c>
      <c r="F8" s="39">
        <v>68</v>
      </c>
      <c r="G8" s="39">
        <v>75</v>
      </c>
      <c r="H8" s="39">
        <v>44</v>
      </c>
      <c r="I8" s="39">
        <v>66</v>
      </c>
      <c r="J8" s="39">
        <v>77</v>
      </c>
      <c r="K8" s="39">
        <v>75</v>
      </c>
      <c r="L8" s="39">
        <v>700</v>
      </c>
      <c r="M8" s="47">
        <f t="shared" ref="M8:M30" si="0">SUM(E8:K8)</f>
        <v>462</v>
      </c>
      <c r="N8" s="48">
        <f t="shared" ref="N8:N30" si="1">M8/700</f>
        <v>0.66</v>
      </c>
      <c r="O8" s="49" t="str">
        <f t="shared" ref="O8:O30" si="2">IF(N8&gt;=0.8,"Distinction",IF(N8&gt;=0.7,"First Division",IF(N8&gt;=0.6,"Second Division",IF(N8&gt;=0.5,"Third Division",IF(N8&gt;=0.4,"Pass","fail")))))</f>
        <v>Second Division</v>
      </c>
      <c r="P8" s="37" t="str">
        <f t="shared" ref="P8:P30" si="3">IF($E8&gt;=40,"pass","Fail")</f>
        <v>pass</v>
      </c>
      <c r="Q8" s="37">
        <f t="shared" ref="Q8:Q30" si="4">RANK(N8,$N$7:$N$30)</f>
        <v>17</v>
      </c>
    </row>
    <row r="9" ht="14" customHeight="1" spans="1:17">
      <c r="A9" s="36">
        <v>58150</v>
      </c>
      <c r="B9" s="37">
        <v>3</v>
      </c>
      <c r="C9" s="38" t="s">
        <v>20</v>
      </c>
      <c r="D9" s="39">
        <v>8</v>
      </c>
      <c r="E9" s="39">
        <v>56</v>
      </c>
      <c r="F9" s="39">
        <v>69</v>
      </c>
      <c r="G9" s="39">
        <v>76</v>
      </c>
      <c r="H9" s="39">
        <v>67</v>
      </c>
      <c r="I9" s="39">
        <v>76</v>
      </c>
      <c r="J9" s="39">
        <v>78</v>
      </c>
      <c r="K9" s="39">
        <v>76</v>
      </c>
      <c r="L9" s="39">
        <v>700</v>
      </c>
      <c r="M9" s="47">
        <f t="shared" si="0"/>
        <v>498</v>
      </c>
      <c r="N9" s="48">
        <f t="shared" si="1"/>
        <v>0.711428571428571</v>
      </c>
      <c r="O9" s="49" t="str">
        <f t="shared" si="2"/>
        <v>First Division</v>
      </c>
      <c r="P9" s="37" t="str">
        <f t="shared" si="3"/>
        <v>pass</v>
      </c>
      <c r="Q9" s="37">
        <f t="shared" si="4"/>
        <v>10</v>
      </c>
    </row>
    <row r="10" ht="14" customHeight="1" spans="1:17">
      <c r="A10" s="36">
        <v>58151</v>
      </c>
      <c r="B10" s="37">
        <v>4</v>
      </c>
      <c r="C10" s="38" t="s">
        <v>21</v>
      </c>
      <c r="D10" s="39">
        <v>8</v>
      </c>
      <c r="E10" s="39">
        <v>76</v>
      </c>
      <c r="F10" s="39">
        <v>70</v>
      </c>
      <c r="G10" s="39">
        <v>77</v>
      </c>
      <c r="H10" s="39">
        <v>68</v>
      </c>
      <c r="I10" s="39">
        <v>76</v>
      </c>
      <c r="J10" s="39">
        <v>79</v>
      </c>
      <c r="K10" s="39">
        <v>77</v>
      </c>
      <c r="L10" s="39">
        <v>700</v>
      </c>
      <c r="M10" s="47">
        <f t="shared" si="0"/>
        <v>523</v>
      </c>
      <c r="N10" s="48">
        <f t="shared" si="1"/>
        <v>0.747142857142857</v>
      </c>
      <c r="O10" s="49" t="str">
        <f t="shared" si="2"/>
        <v>First Division</v>
      </c>
      <c r="P10" s="37" t="str">
        <f t="shared" si="3"/>
        <v>pass</v>
      </c>
      <c r="Q10" s="37">
        <f t="shared" si="4"/>
        <v>4</v>
      </c>
    </row>
    <row r="11" ht="14" customHeight="1" spans="1:17">
      <c r="A11" s="36">
        <v>58152</v>
      </c>
      <c r="B11" s="37">
        <v>5</v>
      </c>
      <c r="C11" s="38" t="s">
        <v>22</v>
      </c>
      <c r="D11" s="39">
        <v>8</v>
      </c>
      <c r="E11" s="39">
        <v>66</v>
      </c>
      <c r="F11" s="39">
        <v>71</v>
      </c>
      <c r="G11" s="39">
        <v>78</v>
      </c>
      <c r="H11" s="39">
        <v>69</v>
      </c>
      <c r="I11" s="39">
        <v>67</v>
      </c>
      <c r="J11" s="39">
        <v>80</v>
      </c>
      <c r="K11" s="39">
        <v>78</v>
      </c>
      <c r="L11" s="39">
        <v>700</v>
      </c>
      <c r="M11" s="47">
        <f t="shared" si="0"/>
        <v>509</v>
      </c>
      <c r="N11" s="48">
        <f t="shared" si="1"/>
        <v>0.727142857142857</v>
      </c>
      <c r="O11" s="49" t="str">
        <f t="shared" si="2"/>
        <v>First Division</v>
      </c>
      <c r="P11" s="37" t="str">
        <f t="shared" si="3"/>
        <v>pass</v>
      </c>
      <c r="Q11" s="37">
        <f t="shared" si="4"/>
        <v>7</v>
      </c>
    </row>
    <row r="12" ht="14" customHeight="1" spans="1:17">
      <c r="A12" s="36">
        <v>58153</v>
      </c>
      <c r="B12" s="37">
        <v>6</v>
      </c>
      <c r="C12" s="38" t="s">
        <v>23</v>
      </c>
      <c r="D12" s="39">
        <v>8</v>
      </c>
      <c r="E12" s="39">
        <v>59</v>
      </c>
      <c r="F12" s="39">
        <v>72</v>
      </c>
      <c r="G12" s="39">
        <v>79</v>
      </c>
      <c r="H12" s="39">
        <v>70</v>
      </c>
      <c r="I12" s="39">
        <v>78</v>
      </c>
      <c r="J12" s="39">
        <v>81</v>
      </c>
      <c r="K12" s="39">
        <v>79</v>
      </c>
      <c r="L12" s="39">
        <v>700</v>
      </c>
      <c r="M12" s="47">
        <f t="shared" si="0"/>
        <v>518</v>
      </c>
      <c r="N12" s="48">
        <f t="shared" si="1"/>
        <v>0.74</v>
      </c>
      <c r="O12" s="49" t="str">
        <f t="shared" si="2"/>
        <v>First Division</v>
      </c>
      <c r="P12" s="37" t="str">
        <f t="shared" si="3"/>
        <v>pass</v>
      </c>
      <c r="Q12" s="37">
        <f t="shared" si="4"/>
        <v>5</v>
      </c>
    </row>
    <row r="13" ht="14" customHeight="1" spans="1:17">
      <c r="A13" s="36">
        <v>58154</v>
      </c>
      <c r="B13" s="37">
        <v>7</v>
      </c>
      <c r="C13" s="38" t="s">
        <v>24</v>
      </c>
      <c r="D13" s="39">
        <v>8</v>
      </c>
      <c r="E13" s="39">
        <v>58</v>
      </c>
      <c r="F13" s="39">
        <v>73</v>
      </c>
      <c r="G13" s="39">
        <v>80</v>
      </c>
      <c r="H13" s="39">
        <v>71</v>
      </c>
      <c r="I13" s="39">
        <v>33</v>
      </c>
      <c r="J13" s="39">
        <v>11</v>
      </c>
      <c r="K13" s="39">
        <v>80</v>
      </c>
      <c r="L13" s="39">
        <v>700</v>
      </c>
      <c r="M13" s="47">
        <f t="shared" si="0"/>
        <v>406</v>
      </c>
      <c r="N13" s="48">
        <f t="shared" si="1"/>
        <v>0.58</v>
      </c>
      <c r="O13" s="49" t="str">
        <f t="shared" si="2"/>
        <v>Third Division</v>
      </c>
      <c r="P13" s="37" t="str">
        <f t="shared" si="3"/>
        <v>pass</v>
      </c>
      <c r="Q13" s="37">
        <f t="shared" si="4"/>
        <v>22</v>
      </c>
    </row>
    <row r="14" ht="14" customHeight="1" spans="1:17">
      <c r="A14" s="36">
        <v>58155</v>
      </c>
      <c r="B14" s="37">
        <v>8</v>
      </c>
      <c r="C14" s="38" t="s">
        <v>25</v>
      </c>
      <c r="D14" s="39">
        <v>8</v>
      </c>
      <c r="E14" s="39">
        <v>15</v>
      </c>
      <c r="F14" s="39">
        <v>74</v>
      </c>
      <c r="G14" s="39">
        <v>81</v>
      </c>
      <c r="H14" s="39">
        <v>65</v>
      </c>
      <c r="I14" s="39">
        <v>11</v>
      </c>
      <c r="J14" s="39">
        <v>97</v>
      </c>
      <c r="K14" s="39">
        <v>81</v>
      </c>
      <c r="L14" s="39">
        <v>700</v>
      </c>
      <c r="M14" s="47">
        <f t="shared" si="0"/>
        <v>424</v>
      </c>
      <c r="N14" s="48">
        <f t="shared" si="1"/>
        <v>0.605714285714286</v>
      </c>
      <c r="O14" s="49" t="str">
        <f t="shared" si="2"/>
        <v>Second Division</v>
      </c>
      <c r="P14" s="37" t="str">
        <f t="shared" si="3"/>
        <v>Fail</v>
      </c>
      <c r="Q14" s="37">
        <f t="shared" si="4"/>
        <v>21</v>
      </c>
    </row>
    <row r="15" ht="14" customHeight="1" spans="1:17">
      <c r="A15" s="36">
        <v>58156</v>
      </c>
      <c r="B15" s="37">
        <v>9</v>
      </c>
      <c r="C15" s="38" t="s">
        <v>26</v>
      </c>
      <c r="D15" s="39">
        <v>8</v>
      </c>
      <c r="E15" s="39">
        <v>58</v>
      </c>
      <c r="F15" s="39">
        <v>75</v>
      </c>
      <c r="G15" s="39">
        <v>82</v>
      </c>
      <c r="H15" s="39">
        <v>34</v>
      </c>
      <c r="I15" s="39">
        <v>13</v>
      </c>
      <c r="J15" s="39">
        <v>11</v>
      </c>
      <c r="K15" s="39">
        <v>82</v>
      </c>
      <c r="L15" s="39">
        <v>700</v>
      </c>
      <c r="M15" s="47">
        <f t="shared" si="0"/>
        <v>355</v>
      </c>
      <c r="N15" s="48">
        <f t="shared" si="1"/>
        <v>0.507142857142857</v>
      </c>
      <c r="O15" s="49" t="str">
        <f t="shared" si="2"/>
        <v>Third Division</v>
      </c>
      <c r="P15" s="37" t="str">
        <f t="shared" si="3"/>
        <v>pass</v>
      </c>
      <c r="Q15" s="37">
        <f t="shared" si="4"/>
        <v>24</v>
      </c>
    </row>
    <row r="16" ht="14" customHeight="1" spans="1:17">
      <c r="A16" s="36">
        <v>58157</v>
      </c>
      <c r="B16" s="37">
        <v>10</v>
      </c>
      <c r="C16" s="38" t="s">
        <v>27</v>
      </c>
      <c r="D16" s="39">
        <v>8</v>
      </c>
      <c r="E16" s="39">
        <v>58</v>
      </c>
      <c r="F16" s="39">
        <v>76</v>
      </c>
      <c r="G16" s="39">
        <v>83</v>
      </c>
      <c r="H16" s="39">
        <v>35</v>
      </c>
      <c r="I16" s="39">
        <v>43</v>
      </c>
      <c r="J16" s="39">
        <v>55</v>
      </c>
      <c r="K16" s="39">
        <v>45</v>
      </c>
      <c r="L16" s="39">
        <v>700</v>
      </c>
      <c r="M16" s="47">
        <f t="shared" si="0"/>
        <v>395</v>
      </c>
      <c r="N16" s="48">
        <f t="shared" si="1"/>
        <v>0.564285714285714</v>
      </c>
      <c r="O16" s="49" t="str">
        <f t="shared" si="2"/>
        <v>Third Division</v>
      </c>
      <c r="P16" s="37" t="str">
        <f t="shared" si="3"/>
        <v>pass</v>
      </c>
      <c r="Q16" s="37">
        <f t="shared" si="4"/>
        <v>23</v>
      </c>
    </row>
    <row r="17" ht="14" customHeight="1" spans="1:17">
      <c r="A17" s="36">
        <v>58158</v>
      </c>
      <c r="B17" s="37">
        <v>11</v>
      </c>
      <c r="C17" s="38" t="s">
        <v>28</v>
      </c>
      <c r="D17" s="39">
        <v>8</v>
      </c>
      <c r="E17" s="39">
        <v>97</v>
      </c>
      <c r="F17" s="39">
        <v>77</v>
      </c>
      <c r="G17" s="39">
        <v>84</v>
      </c>
      <c r="H17" s="39">
        <v>36</v>
      </c>
      <c r="I17" s="39">
        <v>66</v>
      </c>
      <c r="J17" s="39">
        <v>56</v>
      </c>
      <c r="K17" s="39">
        <v>46</v>
      </c>
      <c r="L17" s="39">
        <v>700</v>
      </c>
      <c r="M17" s="47">
        <f t="shared" si="0"/>
        <v>462</v>
      </c>
      <c r="N17" s="48">
        <f t="shared" si="1"/>
        <v>0.66</v>
      </c>
      <c r="O17" s="49" t="str">
        <f t="shared" si="2"/>
        <v>Second Division</v>
      </c>
      <c r="P17" s="37" t="str">
        <f t="shared" si="3"/>
        <v>pass</v>
      </c>
      <c r="Q17" s="37">
        <f t="shared" si="4"/>
        <v>17</v>
      </c>
    </row>
    <row r="18" ht="14" customHeight="1" spans="1:17">
      <c r="A18" s="36">
        <v>58159</v>
      </c>
      <c r="B18" s="37">
        <v>12</v>
      </c>
      <c r="C18" s="38" t="s">
        <v>29</v>
      </c>
      <c r="D18" s="39">
        <v>8</v>
      </c>
      <c r="E18" s="39">
        <v>48</v>
      </c>
      <c r="F18" s="39">
        <v>78</v>
      </c>
      <c r="G18" s="39">
        <v>85</v>
      </c>
      <c r="H18" s="39">
        <v>66</v>
      </c>
      <c r="I18" s="39">
        <v>45</v>
      </c>
      <c r="J18" s="39">
        <v>57</v>
      </c>
      <c r="K18" s="39">
        <v>47</v>
      </c>
      <c r="L18" s="39">
        <v>700</v>
      </c>
      <c r="M18" s="47">
        <f t="shared" si="0"/>
        <v>426</v>
      </c>
      <c r="N18" s="48">
        <f t="shared" si="1"/>
        <v>0.608571428571429</v>
      </c>
      <c r="O18" s="49" t="str">
        <f t="shared" si="2"/>
        <v>Second Division</v>
      </c>
      <c r="P18" s="37" t="str">
        <f t="shared" si="3"/>
        <v>pass</v>
      </c>
      <c r="Q18" s="37">
        <f t="shared" si="4"/>
        <v>20</v>
      </c>
    </row>
    <row r="19" ht="14" customHeight="1" spans="1:17">
      <c r="A19" s="36">
        <v>58160</v>
      </c>
      <c r="B19" s="37">
        <v>13</v>
      </c>
      <c r="C19" s="38" t="s">
        <v>30</v>
      </c>
      <c r="D19" s="39">
        <v>8</v>
      </c>
      <c r="E19" s="39">
        <v>76</v>
      </c>
      <c r="F19" s="39">
        <v>79</v>
      </c>
      <c r="G19" s="39">
        <v>86</v>
      </c>
      <c r="H19" s="39">
        <v>55</v>
      </c>
      <c r="I19" s="39">
        <v>67</v>
      </c>
      <c r="J19" s="39">
        <v>58</v>
      </c>
      <c r="K19" s="39">
        <v>48</v>
      </c>
      <c r="L19" s="39">
        <v>700</v>
      </c>
      <c r="M19" s="47">
        <f t="shared" si="0"/>
        <v>469</v>
      </c>
      <c r="N19" s="48">
        <f t="shared" si="1"/>
        <v>0.67</v>
      </c>
      <c r="O19" s="49" t="str">
        <f t="shared" si="2"/>
        <v>Second Division</v>
      </c>
      <c r="P19" s="37" t="str">
        <f t="shared" si="3"/>
        <v>pass</v>
      </c>
      <c r="Q19" s="37">
        <f t="shared" si="4"/>
        <v>16</v>
      </c>
    </row>
    <row r="20" ht="14" customHeight="1" spans="1:17">
      <c r="A20" s="36">
        <v>58161</v>
      </c>
      <c r="B20" s="37">
        <v>14</v>
      </c>
      <c r="C20" s="38" t="s">
        <v>31</v>
      </c>
      <c r="D20" s="39">
        <v>8</v>
      </c>
      <c r="E20" s="39">
        <v>86</v>
      </c>
      <c r="F20" s="39">
        <v>80</v>
      </c>
      <c r="G20" s="39">
        <v>87</v>
      </c>
      <c r="H20" s="39">
        <v>67</v>
      </c>
      <c r="I20" s="39">
        <v>68</v>
      </c>
      <c r="J20" s="39">
        <v>59</v>
      </c>
      <c r="K20" s="39">
        <v>49</v>
      </c>
      <c r="L20" s="39">
        <v>700</v>
      </c>
      <c r="M20" s="47">
        <f t="shared" si="0"/>
        <v>496</v>
      </c>
      <c r="N20" s="48">
        <f t="shared" si="1"/>
        <v>0.708571428571429</v>
      </c>
      <c r="O20" s="49" t="str">
        <f t="shared" si="2"/>
        <v>First Division</v>
      </c>
      <c r="P20" s="37" t="str">
        <f t="shared" si="3"/>
        <v>pass</v>
      </c>
      <c r="Q20" s="37">
        <f t="shared" si="4"/>
        <v>11</v>
      </c>
    </row>
    <row r="21" ht="14" customHeight="1" spans="1:17">
      <c r="A21" s="36">
        <v>58162</v>
      </c>
      <c r="B21" s="37">
        <v>15</v>
      </c>
      <c r="C21" s="38" t="s">
        <v>32</v>
      </c>
      <c r="D21" s="39">
        <v>8</v>
      </c>
      <c r="E21" s="39">
        <v>85</v>
      </c>
      <c r="F21" s="39">
        <v>81</v>
      </c>
      <c r="G21" s="39">
        <v>88</v>
      </c>
      <c r="H21" s="39">
        <v>68</v>
      </c>
      <c r="I21" s="39">
        <v>69</v>
      </c>
      <c r="J21" s="39">
        <v>60</v>
      </c>
      <c r="K21" s="39">
        <v>50</v>
      </c>
      <c r="L21" s="39">
        <v>700</v>
      </c>
      <c r="M21" s="47">
        <f t="shared" si="0"/>
        <v>501</v>
      </c>
      <c r="N21" s="48">
        <f t="shared" si="1"/>
        <v>0.715714285714286</v>
      </c>
      <c r="O21" s="49" t="str">
        <f t="shared" si="2"/>
        <v>First Division</v>
      </c>
      <c r="P21" s="37" t="str">
        <f t="shared" si="3"/>
        <v>pass</v>
      </c>
      <c r="Q21" s="37">
        <f t="shared" si="4"/>
        <v>8</v>
      </c>
    </row>
    <row r="22" ht="14" customHeight="1" spans="1:17">
      <c r="A22" s="36">
        <v>58163</v>
      </c>
      <c r="B22" s="37">
        <v>16</v>
      </c>
      <c r="C22" s="38" t="s">
        <v>33</v>
      </c>
      <c r="D22" s="39">
        <v>8</v>
      </c>
      <c r="E22" s="39">
        <v>58</v>
      </c>
      <c r="F22" s="39">
        <v>82</v>
      </c>
      <c r="G22" s="39">
        <v>89</v>
      </c>
      <c r="H22" s="39">
        <v>69</v>
      </c>
      <c r="I22" s="39">
        <v>70</v>
      </c>
      <c r="J22" s="39">
        <v>61</v>
      </c>
      <c r="K22" s="39">
        <v>51</v>
      </c>
      <c r="L22" s="39">
        <v>700</v>
      </c>
      <c r="M22" s="47">
        <f t="shared" si="0"/>
        <v>480</v>
      </c>
      <c r="N22" s="48">
        <f t="shared" si="1"/>
        <v>0.685714285714286</v>
      </c>
      <c r="O22" s="49" t="str">
        <f t="shared" si="2"/>
        <v>Second Division</v>
      </c>
      <c r="P22" s="37" t="str">
        <f t="shared" si="3"/>
        <v>pass</v>
      </c>
      <c r="Q22" s="37">
        <f t="shared" si="4"/>
        <v>15</v>
      </c>
    </row>
    <row r="23" ht="14" customHeight="1" spans="1:17">
      <c r="A23" s="36">
        <v>58164</v>
      </c>
      <c r="B23" s="37">
        <v>17</v>
      </c>
      <c r="C23" s="38" t="s">
        <v>34</v>
      </c>
      <c r="D23" s="39">
        <v>8</v>
      </c>
      <c r="E23" s="39">
        <v>33</v>
      </c>
      <c r="F23" s="39">
        <v>83</v>
      </c>
      <c r="G23" s="39">
        <v>90</v>
      </c>
      <c r="H23" s="39">
        <v>88</v>
      </c>
      <c r="I23" s="39">
        <v>77</v>
      </c>
      <c r="J23" s="39">
        <v>62</v>
      </c>
      <c r="K23" s="39">
        <v>52</v>
      </c>
      <c r="L23" s="39">
        <v>700</v>
      </c>
      <c r="M23" s="47">
        <f t="shared" si="0"/>
        <v>485</v>
      </c>
      <c r="N23" s="48">
        <f t="shared" si="1"/>
        <v>0.692857142857143</v>
      </c>
      <c r="O23" s="49" t="str">
        <f t="shared" si="2"/>
        <v>Second Division</v>
      </c>
      <c r="P23" s="37" t="str">
        <f t="shared" si="3"/>
        <v>Fail</v>
      </c>
      <c r="Q23" s="37">
        <f t="shared" si="4"/>
        <v>14</v>
      </c>
    </row>
    <row r="24" ht="14" customHeight="1" spans="1:17">
      <c r="A24" s="36">
        <v>58165</v>
      </c>
      <c r="B24" s="37">
        <v>18</v>
      </c>
      <c r="C24" s="38" t="s">
        <v>35</v>
      </c>
      <c r="D24" s="39">
        <v>8</v>
      </c>
      <c r="E24" s="39">
        <v>32</v>
      </c>
      <c r="F24" s="39">
        <v>84</v>
      </c>
      <c r="G24" s="39">
        <v>91</v>
      </c>
      <c r="H24" s="39">
        <v>89</v>
      </c>
      <c r="I24" s="39">
        <v>78</v>
      </c>
      <c r="J24" s="39">
        <v>63</v>
      </c>
      <c r="K24" s="39">
        <v>53</v>
      </c>
      <c r="L24" s="39">
        <v>700</v>
      </c>
      <c r="M24" s="47">
        <f t="shared" si="0"/>
        <v>490</v>
      </c>
      <c r="N24" s="48">
        <f t="shared" si="1"/>
        <v>0.7</v>
      </c>
      <c r="O24" s="49" t="str">
        <f t="shared" si="2"/>
        <v>First Division</v>
      </c>
      <c r="P24" s="37" t="str">
        <f t="shared" si="3"/>
        <v>Fail</v>
      </c>
      <c r="Q24" s="37">
        <f t="shared" si="4"/>
        <v>13</v>
      </c>
    </row>
    <row r="25" ht="14" customHeight="1" spans="1:17">
      <c r="A25" s="36">
        <v>58166</v>
      </c>
      <c r="B25" s="37">
        <v>19</v>
      </c>
      <c r="C25" s="38" t="s">
        <v>36</v>
      </c>
      <c r="D25" s="39">
        <v>8</v>
      </c>
      <c r="E25" s="39">
        <v>53</v>
      </c>
      <c r="F25" s="39">
        <v>85</v>
      </c>
      <c r="G25" s="39">
        <v>92</v>
      </c>
      <c r="H25" s="39">
        <v>90</v>
      </c>
      <c r="I25" s="39">
        <v>79</v>
      </c>
      <c r="J25" s="39">
        <v>64</v>
      </c>
      <c r="K25" s="39">
        <v>54</v>
      </c>
      <c r="L25" s="39">
        <v>700</v>
      </c>
      <c r="M25" s="47">
        <f t="shared" si="0"/>
        <v>517</v>
      </c>
      <c r="N25" s="48">
        <f t="shared" si="1"/>
        <v>0.738571428571429</v>
      </c>
      <c r="O25" s="49" t="str">
        <f t="shared" si="2"/>
        <v>First Division</v>
      </c>
      <c r="P25" s="37" t="str">
        <f t="shared" si="3"/>
        <v>pass</v>
      </c>
      <c r="Q25" s="37">
        <f t="shared" si="4"/>
        <v>6</v>
      </c>
    </row>
    <row r="26" ht="14" customHeight="1" spans="1:17">
      <c r="A26" s="36">
        <v>58167</v>
      </c>
      <c r="B26" s="37">
        <v>20</v>
      </c>
      <c r="C26" s="38" t="s">
        <v>37</v>
      </c>
      <c r="D26" s="39">
        <v>8</v>
      </c>
      <c r="E26" s="39">
        <v>66</v>
      </c>
      <c r="F26" s="39">
        <v>86</v>
      </c>
      <c r="G26" s="39">
        <v>93</v>
      </c>
      <c r="H26" s="39">
        <v>91</v>
      </c>
      <c r="I26" s="39">
        <v>80</v>
      </c>
      <c r="J26" s="39">
        <v>65</v>
      </c>
      <c r="K26" s="39">
        <v>55</v>
      </c>
      <c r="L26" s="39">
        <v>700</v>
      </c>
      <c r="M26" s="47">
        <f t="shared" si="0"/>
        <v>536</v>
      </c>
      <c r="N26" s="48">
        <f t="shared" si="1"/>
        <v>0.765714285714286</v>
      </c>
      <c r="O26" s="49" t="str">
        <f t="shared" si="2"/>
        <v>First Division</v>
      </c>
      <c r="P26" s="37" t="str">
        <f t="shared" si="3"/>
        <v>pass</v>
      </c>
      <c r="Q26" s="37">
        <f t="shared" si="4"/>
        <v>2</v>
      </c>
    </row>
    <row r="27" ht="14" customHeight="1" spans="1:17">
      <c r="A27" s="36">
        <v>58168</v>
      </c>
      <c r="B27" s="37">
        <v>21</v>
      </c>
      <c r="C27" s="38" t="s">
        <v>38</v>
      </c>
      <c r="D27" s="39">
        <v>8</v>
      </c>
      <c r="E27" s="39">
        <v>64</v>
      </c>
      <c r="F27" s="39">
        <v>87</v>
      </c>
      <c r="G27" s="39">
        <v>94</v>
      </c>
      <c r="H27" s="39">
        <v>76</v>
      </c>
      <c r="I27" s="39">
        <v>81</v>
      </c>
      <c r="J27" s="39">
        <v>66</v>
      </c>
      <c r="K27" s="39">
        <v>56</v>
      </c>
      <c r="L27" s="39">
        <v>700</v>
      </c>
      <c r="M27" s="47">
        <f t="shared" si="0"/>
        <v>524</v>
      </c>
      <c r="N27" s="48">
        <f t="shared" si="1"/>
        <v>0.748571428571429</v>
      </c>
      <c r="O27" s="49" t="str">
        <f t="shared" si="2"/>
        <v>First Division</v>
      </c>
      <c r="P27" s="37" t="str">
        <f t="shared" si="3"/>
        <v>pass</v>
      </c>
      <c r="Q27" s="37">
        <f t="shared" si="4"/>
        <v>3</v>
      </c>
    </row>
    <row r="28" ht="14" customHeight="1" spans="1:17">
      <c r="A28" s="36">
        <v>58169</v>
      </c>
      <c r="B28" s="37">
        <v>22</v>
      </c>
      <c r="C28" s="38" t="s">
        <v>39</v>
      </c>
      <c r="D28" s="39">
        <v>8</v>
      </c>
      <c r="E28" s="39">
        <v>78</v>
      </c>
      <c r="F28" s="39">
        <v>88</v>
      </c>
      <c r="G28" s="39">
        <v>95</v>
      </c>
      <c r="H28" s="39">
        <v>33</v>
      </c>
      <c r="I28" s="39">
        <v>82</v>
      </c>
      <c r="J28" s="39">
        <v>67</v>
      </c>
      <c r="K28" s="39">
        <v>57</v>
      </c>
      <c r="L28" s="39">
        <v>700</v>
      </c>
      <c r="M28" s="47">
        <f t="shared" si="0"/>
        <v>500</v>
      </c>
      <c r="N28" s="48">
        <f t="shared" si="1"/>
        <v>0.714285714285714</v>
      </c>
      <c r="O28" s="49" t="str">
        <f t="shared" si="2"/>
        <v>First Division</v>
      </c>
      <c r="P28" s="37" t="str">
        <f t="shared" si="3"/>
        <v>pass</v>
      </c>
      <c r="Q28" s="37">
        <f t="shared" si="4"/>
        <v>9</v>
      </c>
    </row>
    <row r="29" ht="14" customHeight="1" spans="1:17">
      <c r="A29" s="36">
        <v>58170</v>
      </c>
      <c r="B29" s="37">
        <v>23</v>
      </c>
      <c r="C29" s="38" t="s">
        <v>40</v>
      </c>
      <c r="D29" s="39">
        <v>8</v>
      </c>
      <c r="E29" s="39">
        <v>32</v>
      </c>
      <c r="F29" s="39">
        <v>89</v>
      </c>
      <c r="G29" s="39">
        <v>96</v>
      </c>
      <c r="H29" s="39">
        <v>34</v>
      </c>
      <c r="I29" s="39">
        <v>83</v>
      </c>
      <c r="J29" s="39">
        <v>68</v>
      </c>
      <c r="K29" s="39">
        <v>58</v>
      </c>
      <c r="L29" s="39">
        <v>700</v>
      </c>
      <c r="M29" s="47">
        <f t="shared" si="0"/>
        <v>460</v>
      </c>
      <c r="N29" s="48">
        <f t="shared" si="1"/>
        <v>0.657142857142857</v>
      </c>
      <c r="O29" s="49" t="str">
        <f t="shared" si="2"/>
        <v>Second Division</v>
      </c>
      <c r="P29" s="37" t="str">
        <f t="shared" si="3"/>
        <v>Fail</v>
      </c>
      <c r="Q29" s="37">
        <f t="shared" si="4"/>
        <v>19</v>
      </c>
    </row>
    <row r="30" ht="14" customHeight="1" spans="1:17">
      <c r="A30" s="36">
        <v>58171</v>
      </c>
      <c r="B30" s="37">
        <v>24</v>
      </c>
      <c r="C30" s="38" t="s">
        <v>41</v>
      </c>
      <c r="D30" s="39">
        <v>8</v>
      </c>
      <c r="E30" s="39">
        <v>53</v>
      </c>
      <c r="F30" s="39">
        <v>90</v>
      </c>
      <c r="G30" s="39">
        <v>97</v>
      </c>
      <c r="H30" s="39">
        <v>44</v>
      </c>
      <c r="I30" s="39">
        <v>84</v>
      </c>
      <c r="J30" s="39">
        <v>69</v>
      </c>
      <c r="K30" s="39">
        <v>59</v>
      </c>
      <c r="L30" s="39">
        <v>700</v>
      </c>
      <c r="M30" s="47">
        <f t="shared" si="0"/>
        <v>496</v>
      </c>
      <c r="N30" s="48">
        <f t="shared" si="1"/>
        <v>0.708571428571429</v>
      </c>
      <c r="O30" s="49" t="str">
        <f t="shared" si="2"/>
        <v>First Division</v>
      </c>
      <c r="P30" s="37" t="str">
        <f t="shared" si="3"/>
        <v>pass</v>
      </c>
      <c r="Q30" s="37">
        <f t="shared" si="4"/>
        <v>11</v>
      </c>
    </row>
    <row r="31" ht="14" customHeight="1" spans="2:17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50"/>
      <c r="O31" s="40"/>
      <c r="P31" s="40"/>
      <c r="Q31" s="40"/>
    </row>
  </sheetData>
  <mergeCells count="12">
    <mergeCell ref="E5:K5"/>
    <mergeCell ref="A5:A6"/>
    <mergeCell ref="B5:B6"/>
    <mergeCell ref="C5:C6"/>
    <mergeCell ref="D5:D6"/>
    <mergeCell ref="L5:L6"/>
    <mergeCell ref="M5:M6"/>
    <mergeCell ref="N5:N6"/>
    <mergeCell ref="O5:O6"/>
    <mergeCell ref="P5:P6"/>
    <mergeCell ref="Q5:Q6"/>
    <mergeCell ref="R5:R6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autoPageBreaks="0"/>
  </sheetPr>
  <dimension ref="B2:P36"/>
  <sheetViews>
    <sheetView tabSelected="1" defaultGridColor="0" colorId="9" topLeftCell="A20" workbookViewId="0">
      <selection activeCell="I21" sqref="I21"/>
    </sheetView>
  </sheetViews>
  <sheetFormatPr defaultColWidth="9.14285714285714" defaultRowHeight="15"/>
  <cols>
    <col min="1" max="1" width="20.7142857142857" style="1" customWidth="1"/>
    <col min="2" max="2" width="5.85714285714286" style="1" customWidth="1"/>
    <col min="3" max="3" width="22.5714285714286" style="1" customWidth="1"/>
    <col min="4" max="4" width="3.28571428571429" style="1" customWidth="1"/>
    <col min="5" max="5" width="14.7142857142857" style="1" customWidth="1"/>
    <col min="6" max="6" width="7.85714285714286" style="1" customWidth="1"/>
    <col min="7" max="16384" width="9.14285714285714" style="1"/>
  </cols>
  <sheetData>
    <row r="2" spans="9:16">
      <c r="I2" s="27"/>
      <c r="J2" s="27"/>
      <c r="K2" s="27"/>
      <c r="L2" s="27"/>
      <c r="M2" s="27"/>
      <c r="N2" s="27"/>
      <c r="O2" s="27"/>
      <c r="P2" s="27"/>
    </row>
    <row r="3" spans="2:16">
      <c r="B3" s="2"/>
      <c r="C3" s="2"/>
      <c r="D3" s="2"/>
      <c r="E3" s="2"/>
      <c r="F3" s="2"/>
      <c r="G3" s="2"/>
      <c r="H3" s="3"/>
      <c r="I3" s="27"/>
      <c r="J3" s="27" t="s">
        <v>42</v>
      </c>
      <c r="K3" s="27"/>
      <c r="L3" s="27"/>
      <c r="M3" s="27"/>
      <c r="N3" s="27"/>
      <c r="O3" s="27"/>
      <c r="P3" s="27"/>
    </row>
    <row r="4" spans="2:16">
      <c r="B4" s="2"/>
      <c r="C4" s="2"/>
      <c r="D4" s="2"/>
      <c r="E4" s="2"/>
      <c r="F4" s="2"/>
      <c r="G4" s="2"/>
      <c r="H4" s="3"/>
      <c r="I4" s="27"/>
      <c r="J4" s="27"/>
      <c r="K4" s="27"/>
      <c r="L4" s="27"/>
      <c r="M4" s="27"/>
      <c r="N4" s="27"/>
      <c r="O4" s="27"/>
      <c r="P4" s="27"/>
    </row>
    <row r="5" ht="21" spans="2:16">
      <c r="B5" s="2"/>
      <c r="C5" s="2"/>
      <c r="D5" s="2"/>
      <c r="E5" s="2"/>
      <c r="F5" s="2"/>
      <c r="G5" s="4" t="s">
        <v>43</v>
      </c>
      <c r="H5" s="3"/>
      <c r="I5" s="27"/>
      <c r="J5" s="27"/>
      <c r="K5" s="27"/>
      <c r="L5" s="27"/>
      <c r="M5" s="27"/>
      <c r="N5" s="27"/>
      <c r="O5" s="27"/>
      <c r="P5" s="27"/>
    </row>
    <row r="6" spans="2:16">
      <c r="B6" s="2"/>
      <c r="C6" s="2"/>
      <c r="D6" s="2"/>
      <c r="E6" s="2"/>
      <c r="F6" s="2"/>
      <c r="G6" s="5">
        <v>23344</v>
      </c>
      <c r="H6" s="3"/>
      <c r="I6" s="27"/>
      <c r="J6" s="27"/>
      <c r="K6" s="27"/>
      <c r="L6" s="27"/>
      <c r="M6" s="27"/>
      <c r="N6" s="27"/>
      <c r="O6" s="27"/>
      <c r="P6" s="27"/>
    </row>
    <row r="7" spans="2:16">
      <c r="B7" s="2"/>
      <c r="C7" s="2"/>
      <c r="D7" s="2"/>
      <c r="E7" s="2"/>
      <c r="F7" s="2"/>
      <c r="G7" s="2"/>
      <c r="H7" s="3"/>
      <c r="I7" s="27"/>
      <c r="J7" s="27"/>
      <c r="K7" s="27"/>
      <c r="L7" s="27"/>
      <c r="M7" s="27"/>
      <c r="N7" s="27"/>
      <c r="O7" s="27"/>
      <c r="P7" s="27"/>
    </row>
    <row r="8" spans="2:16">
      <c r="B8" s="2"/>
      <c r="C8" s="2"/>
      <c r="D8" s="2"/>
      <c r="E8" s="2"/>
      <c r="F8" s="2"/>
      <c r="G8" s="2"/>
      <c r="H8" s="3"/>
      <c r="I8" s="27"/>
      <c r="J8" s="27"/>
      <c r="K8" s="27"/>
      <c r="L8" s="27"/>
      <c r="M8" s="27"/>
      <c r="N8" s="27"/>
      <c r="O8" s="27"/>
      <c r="P8" s="27"/>
    </row>
    <row r="9" spans="2:16">
      <c r="B9" s="2"/>
      <c r="C9" s="2"/>
      <c r="D9" s="2"/>
      <c r="E9" s="2"/>
      <c r="F9" s="2"/>
      <c r="G9" s="2"/>
      <c r="H9" s="3"/>
      <c r="I9" s="27"/>
      <c r="J9" s="27"/>
      <c r="K9" s="27"/>
      <c r="L9" s="27"/>
      <c r="M9" s="27"/>
      <c r="N9" s="27"/>
      <c r="O9" s="27"/>
      <c r="P9" s="27"/>
    </row>
    <row r="10" ht="21" spans="2:16">
      <c r="B10" s="2"/>
      <c r="C10" s="2"/>
      <c r="D10" s="6"/>
      <c r="E10" s="6" t="s">
        <v>44</v>
      </c>
      <c r="F10" s="2"/>
      <c r="G10" s="2"/>
      <c r="H10" s="3"/>
      <c r="I10" s="27"/>
      <c r="J10" s="27"/>
      <c r="K10" s="27"/>
      <c r="L10" s="27"/>
      <c r="M10" s="27"/>
      <c r="N10" s="27"/>
      <c r="O10" s="27"/>
      <c r="P10" s="27"/>
    </row>
    <row r="11" customHeight="1" spans="2:16">
      <c r="B11" s="2"/>
      <c r="C11" s="2"/>
      <c r="D11" s="2"/>
      <c r="E11" s="2"/>
      <c r="F11" s="2"/>
      <c r="G11" s="2"/>
      <c r="H11" s="3"/>
      <c r="I11" s="27"/>
      <c r="J11" s="27"/>
      <c r="K11" s="27"/>
      <c r="L11" s="27"/>
      <c r="M11" s="27"/>
      <c r="N11" s="27"/>
      <c r="O11" s="27"/>
      <c r="P11" s="27"/>
    </row>
    <row r="12" spans="2:16">
      <c r="B12" s="2"/>
      <c r="C12" s="2"/>
      <c r="D12" s="2"/>
      <c r="E12" s="2"/>
      <c r="F12" s="2"/>
      <c r="G12" s="2"/>
      <c r="I12" s="27"/>
      <c r="J12" s="27"/>
      <c r="K12" s="27"/>
      <c r="L12" s="27"/>
      <c r="M12" s="27"/>
      <c r="N12" s="27"/>
      <c r="O12" s="27"/>
      <c r="P12" s="27"/>
    </row>
    <row r="13" spans="2:16">
      <c r="B13" s="2"/>
      <c r="C13" s="2"/>
      <c r="D13" s="2"/>
      <c r="E13" s="2"/>
      <c r="F13" s="2"/>
      <c r="G13" s="2"/>
      <c r="I13" s="27"/>
      <c r="J13" s="27"/>
      <c r="K13" s="27"/>
      <c r="L13" s="27"/>
      <c r="M13" s="27"/>
      <c r="N13" s="27"/>
      <c r="O13" s="27"/>
      <c r="P13" s="27"/>
    </row>
    <row r="14" ht="20" customHeight="1" spans="2:16">
      <c r="B14" s="2"/>
      <c r="C14" s="2" t="s">
        <v>45</v>
      </c>
      <c r="D14" s="2" t="s">
        <v>46</v>
      </c>
      <c r="E14" s="7" t="s">
        <v>22</v>
      </c>
      <c r="F14" s="2"/>
      <c r="G14" s="2"/>
      <c r="I14" s="27"/>
      <c r="J14" s="27"/>
      <c r="K14" s="27"/>
      <c r="L14" s="27"/>
      <c r="M14" s="27"/>
      <c r="N14" s="27"/>
      <c r="O14" s="27"/>
      <c r="P14" s="27"/>
    </row>
    <row r="15" ht="20" customHeight="1" spans="2:16">
      <c r="B15" s="2"/>
      <c r="C15" s="2" t="s">
        <v>47</v>
      </c>
      <c r="D15" s="2" t="s">
        <v>46</v>
      </c>
      <c r="E15" s="8">
        <f>_xlfn.XLOOKUP(E14,'Student Database'!C7:C30,'Student Database'!A7:A30)</f>
        <v>58152</v>
      </c>
      <c r="F15" s="2"/>
      <c r="G15" s="2"/>
      <c r="I15" s="27"/>
      <c r="J15" s="27"/>
      <c r="K15" s="27"/>
      <c r="L15" s="27"/>
      <c r="M15" s="27"/>
      <c r="N15" s="27"/>
      <c r="O15" s="27"/>
      <c r="P15" s="27"/>
    </row>
    <row r="16" ht="20" customHeight="1" spans="2:16">
      <c r="B16" s="2"/>
      <c r="C16" s="2" t="s">
        <v>48</v>
      </c>
      <c r="D16" s="2" t="s">
        <v>46</v>
      </c>
      <c r="E16" s="9">
        <f>_xlfn.XLOOKUP(E14,'Student Database'!C7:C30,'Student Database'!B7:B30)</f>
        <v>5</v>
      </c>
      <c r="F16" s="2"/>
      <c r="G16" s="2"/>
      <c r="I16" s="27"/>
      <c r="J16" s="27"/>
      <c r="K16" s="27"/>
      <c r="L16" s="27"/>
      <c r="M16" s="27"/>
      <c r="N16" s="27"/>
      <c r="O16" s="27"/>
      <c r="P16" s="27"/>
    </row>
    <row r="17" ht="20" customHeight="1" spans="2:16">
      <c r="B17" s="2"/>
      <c r="C17" s="2" t="s">
        <v>49</v>
      </c>
      <c r="D17" s="2" t="s">
        <v>46</v>
      </c>
      <c r="E17" s="5" t="s">
        <v>50</v>
      </c>
      <c r="F17" s="5"/>
      <c r="G17" s="2"/>
      <c r="I17" s="27"/>
      <c r="J17" s="27"/>
      <c r="K17" s="27"/>
      <c r="L17" s="27"/>
      <c r="M17" s="27"/>
      <c r="N17" s="27"/>
      <c r="O17" s="27"/>
      <c r="P17" s="27"/>
    </row>
    <row r="18" ht="20" customHeight="1" spans="2:16">
      <c r="B18" s="2"/>
      <c r="C18" s="2" t="s">
        <v>51</v>
      </c>
      <c r="D18" s="2" t="s">
        <v>46</v>
      </c>
      <c r="E18" s="7" t="s">
        <v>52</v>
      </c>
      <c r="F18" s="2" t="s">
        <v>53</v>
      </c>
      <c r="G18" s="2"/>
      <c r="I18" s="27"/>
      <c r="J18" s="27"/>
      <c r="K18" s="27"/>
      <c r="L18" s="27"/>
      <c r="M18" s="27"/>
      <c r="N18" s="27"/>
      <c r="O18" s="27"/>
      <c r="P18" s="27"/>
    </row>
    <row r="19" spans="2:16">
      <c r="B19" s="2"/>
      <c r="C19" s="2"/>
      <c r="D19" s="2"/>
      <c r="E19" s="2"/>
      <c r="F19" s="2"/>
      <c r="G19" s="2"/>
      <c r="I19" s="27"/>
      <c r="J19" s="27"/>
      <c r="K19" s="27"/>
      <c r="L19" s="27"/>
      <c r="M19" s="27"/>
      <c r="N19" s="27"/>
      <c r="O19" s="27"/>
      <c r="P19" s="27"/>
    </row>
    <row r="20" spans="2:16">
      <c r="B20" s="2"/>
      <c r="C20" s="2"/>
      <c r="D20" s="2"/>
      <c r="E20" s="2"/>
      <c r="F20" s="2"/>
      <c r="G20" s="2"/>
      <c r="I20" s="27"/>
      <c r="J20" s="27"/>
      <c r="K20" s="27"/>
      <c r="L20" s="27"/>
      <c r="M20" s="27"/>
      <c r="N20" s="27"/>
      <c r="O20" s="27"/>
      <c r="P20" s="27"/>
    </row>
    <row r="21" ht="30" spans="2:16">
      <c r="B21" s="10" t="s">
        <v>54</v>
      </c>
      <c r="C21" s="10" t="s">
        <v>4</v>
      </c>
      <c r="D21" s="10" t="s">
        <v>55</v>
      </c>
      <c r="E21" s="11"/>
      <c r="F21" s="12" t="s">
        <v>56</v>
      </c>
      <c r="G21" s="11" t="s">
        <v>57</v>
      </c>
      <c r="I21" s="27"/>
      <c r="J21" s="27"/>
      <c r="K21" s="27"/>
      <c r="L21" s="27"/>
      <c r="M21" s="27"/>
      <c r="N21" s="27"/>
      <c r="O21" s="27"/>
      <c r="P21" s="27"/>
    </row>
    <row r="22" spans="2:16">
      <c r="B22" s="13">
        <v>1</v>
      </c>
      <c r="C22" s="10" t="s">
        <v>11</v>
      </c>
      <c r="D22" s="14">
        <f>_xlfn.XLOOKUP($E$14,'Student Database'!$C$7:$C$30,'Student Database'!E7:E30,MATCH(C22,'Student Database'!A5:Q6,0))</f>
        <v>66</v>
      </c>
      <c r="E22" s="15"/>
      <c r="F22" s="13">
        <v>4</v>
      </c>
      <c r="G22" s="16"/>
      <c r="I22" s="27"/>
      <c r="J22" s="27"/>
      <c r="K22" s="27"/>
      <c r="L22" s="27"/>
      <c r="M22" s="27"/>
      <c r="N22" s="27"/>
      <c r="O22" s="27"/>
      <c r="P22" s="27"/>
    </row>
    <row r="23" spans="2:16">
      <c r="B23" s="13">
        <v>2</v>
      </c>
      <c r="C23" s="10" t="s">
        <v>12</v>
      </c>
      <c r="D23" s="14">
        <f>_xlfn.XLOOKUP($E$14,'Student Database'!$C$7:$C$30,'Student Database'!E8:E31,MATCH(C23,'Student Database'!A6:Q7,0))</f>
        <v>59</v>
      </c>
      <c r="E23" s="15"/>
      <c r="F23" s="13">
        <v>4</v>
      </c>
      <c r="G23" s="16"/>
      <c r="I23" s="27"/>
      <c r="J23" s="27"/>
      <c r="K23" s="27"/>
      <c r="L23" s="27"/>
      <c r="M23" s="27"/>
      <c r="N23" s="27"/>
      <c r="O23" s="27"/>
      <c r="P23" s="27"/>
    </row>
    <row r="24" spans="2:16">
      <c r="B24" s="13">
        <v>3</v>
      </c>
      <c r="C24" s="10" t="s">
        <v>13</v>
      </c>
      <c r="D24" s="14">
        <f>_xlfn.XLOOKUP($E$14,'Student Database'!$C$7:$C$30,'Student Database'!E9:E32,MATCH(C24,'Student Database'!A7:Q8,0))</f>
        <v>58</v>
      </c>
      <c r="E24" s="15"/>
      <c r="F24" s="13">
        <v>4</v>
      </c>
      <c r="G24" s="16"/>
      <c r="I24" s="27"/>
      <c r="J24" s="27"/>
      <c r="K24" s="27"/>
      <c r="L24" s="27"/>
      <c r="M24" s="27"/>
      <c r="N24" s="27"/>
      <c r="O24" s="27"/>
      <c r="P24" s="27"/>
    </row>
    <row r="25" spans="2:16">
      <c r="B25" s="13">
        <v>4</v>
      </c>
      <c r="C25" s="10" t="s">
        <v>14</v>
      </c>
      <c r="D25" s="14">
        <f>_xlfn.XLOOKUP($E$14,'Student Database'!$C$7:$C$30,'Student Database'!E10:E33,MATCH(C25,'Student Database'!A8:Q9,0))</f>
        <v>15</v>
      </c>
      <c r="E25" s="15"/>
      <c r="F25" s="13">
        <v>4</v>
      </c>
      <c r="G25" s="16"/>
      <c r="I25" s="27"/>
      <c r="J25" s="27"/>
      <c r="K25" s="27"/>
      <c r="L25" s="27"/>
      <c r="M25" s="27"/>
      <c r="N25" s="27"/>
      <c r="O25" s="27"/>
      <c r="P25" s="27"/>
    </row>
    <row r="26" spans="2:16">
      <c r="B26" s="13">
        <v>5</v>
      </c>
      <c r="C26" s="10" t="s">
        <v>15</v>
      </c>
      <c r="D26" s="14">
        <f>_xlfn.XLOOKUP($E$14,'Student Database'!$C$7:$C$30,'Student Database'!E11:E34,MATCH(C26,'Student Database'!A9:Q10,0))</f>
        <v>58</v>
      </c>
      <c r="E26" s="15"/>
      <c r="F26" s="13">
        <v>4</v>
      </c>
      <c r="G26" s="16"/>
      <c r="I26" s="27"/>
      <c r="J26" s="27"/>
      <c r="K26" s="27"/>
      <c r="L26" s="27"/>
      <c r="M26" s="27"/>
      <c r="N26" s="27"/>
      <c r="O26" s="27"/>
      <c r="P26" s="27"/>
    </row>
    <row r="27" spans="2:16">
      <c r="B27" s="13">
        <v>6</v>
      </c>
      <c r="C27" s="10" t="s">
        <v>16</v>
      </c>
      <c r="D27" s="14">
        <f>_xlfn.XLOOKUP($E$14,'Student Database'!$C$7:$C$30,'Student Database'!E12:E35,MATCH(C27,'Student Database'!A10:Q11,0))</f>
        <v>58</v>
      </c>
      <c r="E27" s="15"/>
      <c r="F27" s="13">
        <v>4</v>
      </c>
      <c r="G27" s="16"/>
      <c r="I27" s="27"/>
      <c r="J27" s="27"/>
      <c r="K27" s="27"/>
      <c r="L27" s="27"/>
      <c r="M27" s="27"/>
      <c r="N27" s="27"/>
      <c r="O27" s="27"/>
      <c r="P27" s="27"/>
    </row>
    <row r="28" spans="2:16">
      <c r="B28" s="13">
        <v>7</v>
      </c>
      <c r="C28" s="10" t="s">
        <v>17</v>
      </c>
      <c r="D28" s="14">
        <f>_xlfn.XLOOKUP($E$14,'Student Database'!$C$7:$C$30,'Student Database'!E13:E36,MATCH(C28,'Student Database'!A11:Q12,0))</f>
        <v>97</v>
      </c>
      <c r="E28" s="15"/>
      <c r="F28" s="13">
        <v>4</v>
      </c>
      <c r="G28" s="16"/>
      <c r="I28" s="27"/>
      <c r="J28" s="27"/>
      <c r="K28" s="27"/>
      <c r="L28" s="27"/>
      <c r="M28" s="27"/>
      <c r="N28" s="27"/>
      <c r="O28" s="27"/>
      <c r="P28" s="27"/>
    </row>
    <row r="29" spans="2:7">
      <c r="B29" s="17"/>
      <c r="C29" s="10" t="s">
        <v>58</v>
      </c>
      <c r="D29" s="18">
        <f>SUM(D22:E28)</f>
        <v>411</v>
      </c>
      <c r="E29" s="13"/>
      <c r="F29" s="18">
        <f>SUM(F22:G28)</f>
        <v>28</v>
      </c>
      <c r="G29" s="19"/>
    </row>
    <row r="30" spans="2:7">
      <c r="B30" s="2"/>
      <c r="C30" s="20"/>
      <c r="D30" s="2"/>
      <c r="E30" s="2"/>
      <c r="F30" s="2"/>
      <c r="G30" s="2"/>
    </row>
    <row r="31" spans="2:7">
      <c r="B31" s="2"/>
      <c r="C31" s="21">
        <f>_xlfn.XLOOKUP(E14,'Student Database'!C7:C30,'Student Database'!N7:N30)</f>
        <v>0.727142857142857</v>
      </c>
      <c r="D31" s="2"/>
      <c r="E31" s="2"/>
      <c r="F31" s="2"/>
      <c r="G31" s="2"/>
    </row>
    <row r="32" spans="2:9">
      <c r="B32" s="2"/>
      <c r="C32" s="22" t="str">
        <f>_xlfn.XLOOKUP(E14,'Student Database'!C7:C30,'Student Database'!P7:P30)</f>
        <v>pass</v>
      </c>
      <c r="D32" s="2"/>
      <c r="E32" s="2"/>
      <c r="F32" s="2"/>
      <c r="G32" s="2"/>
      <c r="I32" s="28"/>
    </row>
    <row r="33" spans="2:7">
      <c r="B33" s="2"/>
      <c r="C33" s="23">
        <f>_xlfn.XLOOKUP(E14,'Student Database'!C7:C30,'Student Database'!Q7:Q30)</f>
        <v>7</v>
      </c>
      <c r="D33" s="2"/>
      <c r="E33" s="2"/>
      <c r="F33" s="2"/>
      <c r="G33" s="2"/>
    </row>
    <row r="34" spans="2:7">
      <c r="B34" s="2"/>
      <c r="C34" s="24"/>
      <c r="D34" s="2"/>
      <c r="E34" s="2"/>
      <c r="F34" s="24"/>
      <c r="G34" s="2"/>
    </row>
    <row r="35" spans="2:7">
      <c r="B35" s="2"/>
      <c r="C35" s="5" t="s">
        <v>59</v>
      </c>
      <c r="D35" s="2"/>
      <c r="E35" s="2"/>
      <c r="F35" s="25" t="s">
        <v>60</v>
      </c>
      <c r="G35" s="26"/>
    </row>
    <row r="36" spans="2:7">
      <c r="B36" s="2"/>
      <c r="C36" s="2"/>
      <c r="D36" s="2"/>
      <c r="E36" s="2"/>
      <c r="F36" s="2"/>
      <c r="G36" s="2"/>
    </row>
  </sheetData>
  <mergeCells count="11">
    <mergeCell ref="E17:F17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35:G35"/>
  </mergeCells>
  <dataValidations count="1">
    <dataValidation type="list" allowBlank="1" showInputMessage="1" showErrorMessage="1" sqref="E14">
      <formula1>'Student Database'!$C$7:$C$30</formula1>
    </dataValidation>
  </dataValidations>
  <pageMargins left="0.75" right="0.75" top="1" bottom="1" header="0.5" footer="0.5"/>
  <pageSetup paperSize="1" fitToWidth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" sqref="E3:N14"/>
    </sheetView>
  </sheetViews>
  <sheetFormatPr defaultColWidth="9.14285714285714" defaultRowHeight="15"/>
  <sheetData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Database</vt:lpstr>
      <vt:lpstr>Result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</dc:creator>
  <cp:lastModifiedBy>Avishek Subedi</cp:lastModifiedBy>
  <dcterms:created xsi:type="dcterms:W3CDTF">2026-03-29T09:51:00Z</dcterms:created>
  <dcterms:modified xsi:type="dcterms:W3CDTF">2026-03-30T14:02:35Z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B929D87330134A44A118A852DDAA0567_11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